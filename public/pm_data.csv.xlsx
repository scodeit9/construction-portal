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construction-portal\public\"/>
    </mc:Choice>
  </mc:AlternateContent>
  <xr:revisionPtr revIDLastSave="0" documentId="8_{96A89A85-916B-4827-A7B4-78ED927BF8B3}" xr6:coauthVersionLast="47" xr6:coauthVersionMax="47" xr10:uidLastSave="{00000000-0000-0000-0000-000000000000}"/>
  <bookViews>
    <workbookView xWindow="-120" yWindow="-120" windowWidth="29040" windowHeight="15840" xr2:uid="{4AADCB6B-0D56-4E15-A96B-8FDC8C6EEAC5}"/>
  </bookViews>
  <sheets>
    <sheet name="PM Datas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1" l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5" i="1"/>
  <c r="R5" i="1"/>
  <c r="R6" i="1" s="1"/>
  <c r="R7" i="1" s="1"/>
  <c r="R8" i="1" s="1"/>
  <c r="R9" i="1" s="1"/>
  <c r="R10" i="1" s="1"/>
  <c r="R11" i="1" s="1"/>
  <c r="R12" i="1" s="1"/>
  <c r="R13" i="1" l="1"/>
  <c r="R14" i="1" s="1"/>
  <c r="R15" i="1" s="1"/>
  <c r="R16" i="1" s="1"/>
  <c r="R17" i="1" s="1"/>
  <c r="R18" i="1" s="1"/>
  <c r="R19" i="1" s="1"/>
  <c r="R20" i="1" s="1"/>
  <c r="R21" i="1" s="1"/>
</calcChain>
</file>

<file path=xl/sharedStrings.xml><?xml version="1.0" encoding="utf-8"?>
<sst xmlns="http://schemas.openxmlformats.org/spreadsheetml/2006/main" count="77" uniqueCount="49">
  <si>
    <t>Labour monitoring and tracking during construction phase, identifying live impact on final budget and project end date</t>
  </si>
  <si>
    <t>Input</t>
  </si>
  <si>
    <t>Outputs</t>
  </si>
  <si>
    <t>Forecast</t>
  </si>
  <si>
    <t>Actual</t>
  </si>
  <si>
    <t>Deviation</t>
  </si>
  <si>
    <t>Final Values</t>
  </si>
  <si>
    <t>Phase</t>
  </si>
  <si>
    <t>Task</t>
  </si>
  <si>
    <t>Payment Schedule (% cumulative)</t>
  </si>
  <si>
    <t>Materials (kg)</t>
  </si>
  <si>
    <t>Type of Labour</t>
  </si>
  <si>
    <t>Labour Rate (€/h)</t>
  </si>
  <si>
    <t>Duration (no. of days)</t>
  </si>
  <si>
    <t>Start Constraint</t>
  </si>
  <si>
    <t>Labor Required (ppl)</t>
  </si>
  <si>
    <t>Risk for Delay (holidays/weather)</t>
  </si>
  <si>
    <t>End Date</t>
  </si>
  <si>
    <t xml:space="preserve"> Start Date</t>
  </si>
  <si>
    <t>Actual labor (ppl)</t>
  </si>
  <si>
    <t>Cost Deviation</t>
  </si>
  <si>
    <t>Time Deviation</t>
  </si>
  <si>
    <t>Actual Project End Date</t>
  </si>
  <si>
    <t>Live Remaining Cost (£)</t>
  </si>
  <si>
    <t>Overall Project End Budget (£)</t>
  </si>
  <si>
    <t>Structural</t>
  </si>
  <si>
    <t>Site setup</t>
  </si>
  <si>
    <t>Low</t>
  </si>
  <si>
    <t>Excavation</t>
  </si>
  <si>
    <t>Medium</t>
  </si>
  <si>
    <t>Foundations (concrete pour)</t>
  </si>
  <si>
    <t>High</t>
  </si>
  <si>
    <t>Ground slab</t>
  </si>
  <si>
    <t>Structural frame (columns/slabs)</t>
  </si>
  <si>
    <t>Finishes</t>
  </si>
  <si>
    <t>External walls</t>
  </si>
  <si>
    <t>Roofing</t>
  </si>
  <si>
    <t>Windows installation</t>
  </si>
  <si>
    <t>Internal plastering</t>
  </si>
  <si>
    <t>Floor finishes</t>
  </si>
  <si>
    <t>Fittings</t>
  </si>
  <si>
    <t>Electrical installation</t>
  </si>
  <si>
    <t>Plumbing installation</t>
  </si>
  <si>
    <t>HVAC installation</t>
  </si>
  <si>
    <t>Kitchen &amp; bathroom fittings</t>
  </si>
  <si>
    <t>Handover</t>
  </si>
  <si>
    <t>Final inspections</t>
  </si>
  <si>
    <t>Snagging &amp; corrections</t>
  </si>
  <si>
    <t>Client handover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</si>
</sst>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9" xfId="0" applyBorder="1"/>
    <xf numFmtId="0" fontId="0" fillId="0" borderId="8" xfId="0" applyBorder="1"/>
    <xf numFmtId="0" fontId="0" fillId="0" borderId="10" xfId="0" applyBorder="1"/>
    <xf numFmtId="0" fontId="0" fillId="0" borderId="14" xfId="0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2" borderId="13" xfId="0" applyFill="1" applyBorder="1" applyAlignment="1">
      <alignment horizontal="center"/>
    </xf>
    <xf numFmtId="1" fontId="0" fillId="2" borderId="13" xfId="0" applyNumberForma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11" xfId="0" applyFill="1" applyBorder="1" applyAlignment="1">
      <alignment horizontal="center"/>
    </xf>
    <xf numFmtId="1" fontId="0" fillId="2" borderId="11" xfId="0" applyNumberForma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2" borderId="12" xfId="0" applyFill="1" applyBorder="1" applyAlignment="1">
      <alignment horizontal="center"/>
    </xf>
    <xf numFmtId="1" fontId="0" fillId="2" borderId="12" xfId="0" applyNumberForma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121920</xdr:rowOff>
    </xdr:to>
    <xdr:sp macro="" textlink="">
      <xdr:nvSpPr>
        <xdr:cNvPr id="1025" name="AutoShape 1" descr="How to Design Programme of Work (POW) for Building Construction ...">
          <a:extLst>
            <a:ext uri="{FF2B5EF4-FFF2-40B4-BE49-F238E27FC236}">
              <a16:creationId xmlns:a16="http://schemas.microsoft.com/office/drawing/2014/main" id="{8D43EAF1-0895-2C06-2CFC-31028D6636AB}"/>
            </a:ext>
          </a:extLst>
        </xdr:cNvPr>
        <xdr:cNvSpPr>
          <a:spLocks noChangeAspect="1" noChangeArrowheads="1"/>
        </xdr:cNvSpPr>
      </xdr:nvSpPr>
      <xdr:spPr bwMode="auto">
        <a:xfrm>
          <a:off x="0" y="36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121920</xdr:rowOff>
    </xdr:to>
    <xdr:sp macro="" textlink="">
      <xdr:nvSpPr>
        <xdr:cNvPr id="1026" name="AutoShape 2" descr="How to Design Programme of Work (POW) for Building Construction ...">
          <a:extLst>
            <a:ext uri="{FF2B5EF4-FFF2-40B4-BE49-F238E27FC236}">
              <a16:creationId xmlns:a16="http://schemas.microsoft.com/office/drawing/2014/main" id="{223539DF-135A-C5ED-7A43-DCAD2875ABF5}"/>
            </a:ext>
          </a:extLst>
        </xdr:cNvPr>
        <xdr:cNvSpPr>
          <a:spLocks noChangeAspect="1" noChangeArrowheads="1"/>
        </xdr:cNvSpPr>
      </xdr:nvSpPr>
      <xdr:spPr bwMode="auto">
        <a:xfrm>
          <a:off x="0" y="36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41563</xdr:colOff>
      <xdr:row>18</xdr:row>
      <xdr:rowOff>13854</xdr:rowOff>
    </xdr:from>
    <xdr:to>
      <xdr:col>1</xdr:col>
      <xdr:colOff>346363</xdr:colOff>
      <xdr:row>19</xdr:row>
      <xdr:rowOff>135774</xdr:rowOff>
    </xdr:to>
    <xdr:sp macro="" textlink="">
      <xdr:nvSpPr>
        <xdr:cNvPr id="1027" name="AutoShape 3" descr="How to Design Programme of Work (POW) for Building Construction ...">
          <a:extLst>
            <a:ext uri="{FF2B5EF4-FFF2-40B4-BE49-F238E27FC236}">
              <a16:creationId xmlns:a16="http://schemas.microsoft.com/office/drawing/2014/main" id="{1038C75E-32AA-C51C-F2E2-CA1A47173911}"/>
            </a:ext>
          </a:extLst>
        </xdr:cNvPr>
        <xdr:cNvSpPr>
          <a:spLocks noChangeAspect="1" noChangeArrowheads="1"/>
        </xdr:cNvSpPr>
      </xdr:nvSpPr>
      <xdr:spPr bwMode="auto">
        <a:xfrm>
          <a:off x="651163" y="3255818"/>
          <a:ext cx="304800" cy="3020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2FA10-24AF-4E26-BDE7-02E7B965CFF4}">
  <dimension ref="B1:T21"/>
  <sheetViews>
    <sheetView tabSelected="1" topLeftCell="C1" zoomScale="55" zoomScaleNormal="55" workbookViewId="0">
      <selection activeCell="F14" sqref="F14"/>
    </sheetView>
  </sheetViews>
  <sheetFormatPr defaultRowHeight="15" x14ac:dyDescent="0.25"/>
  <cols>
    <col min="2" max="2" width="10.42578125" bestFit="1" customWidth="1"/>
    <col min="3" max="3" width="31.7109375" bestFit="1" customWidth="1"/>
    <col min="4" max="4" width="28.42578125" customWidth="1"/>
    <col min="5" max="5" width="13.140625" customWidth="1"/>
    <col min="6" max="6" width="14" customWidth="1"/>
    <col min="7" max="7" width="15.42578125" customWidth="1"/>
    <col min="8" max="8" width="21.28515625" bestFit="1" customWidth="1"/>
    <col min="9" max="9" width="15.7109375" bestFit="1" customWidth="1"/>
    <col min="10" max="10" width="20.28515625" bestFit="1" customWidth="1"/>
    <col min="11" max="11" width="31.7109375" bestFit="1" customWidth="1"/>
    <col min="12" max="12" width="12.28515625" bestFit="1" customWidth="1"/>
    <col min="13" max="13" width="21.28515625" bestFit="1" customWidth="1"/>
    <col min="14" max="14" width="12.28515625" bestFit="1" customWidth="1"/>
    <col min="15" max="15" width="17.140625" bestFit="1" customWidth="1"/>
    <col min="16" max="16" width="14.7109375" bestFit="1" customWidth="1"/>
    <col min="17" max="17" width="14.85546875" bestFit="1" customWidth="1"/>
    <col min="18" max="18" width="23.7109375" bestFit="1" customWidth="1"/>
    <col min="19" max="19" width="23.28515625" bestFit="1" customWidth="1"/>
    <col min="20" max="20" width="29.28515625" bestFit="1" customWidth="1"/>
  </cols>
  <sheetData>
    <row r="1" spans="2:20" x14ac:dyDescent="0.25">
      <c r="C1" t="s">
        <v>0</v>
      </c>
    </row>
    <row r="2" spans="2:20" x14ac:dyDescent="0.25">
      <c r="H2" s="25" t="s">
        <v>1</v>
      </c>
      <c r="I2" s="26"/>
      <c r="J2" s="26"/>
      <c r="K2" s="26"/>
      <c r="L2" s="26"/>
      <c r="M2" s="26"/>
      <c r="N2" s="26"/>
      <c r="O2" s="26"/>
      <c r="P2" s="25" t="s">
        <v>2</v>
      </c>
      <c r="Q2" s="26"/>
      <c r="R2" s="26"/>
      <c r="S2" s="26"/>
      <c r="T2" s="27"/>
    </row>
    <row r="3" spans="2:20" x14ac:dyDescent="0.25">
      <c r="H3" s="25" t="s">
        <v>3</v>
      </c>
      <c r="I3" s="26"/>
      <c r="J3" s="26"/>
      <c r="K3" s="26"/>
      <c r="L3" s="26"/>
      <c r="M3" s="25" t="s">
        <v>4</v>
      </c>
      <c r="N3" s="26"/>
      <c r="O3" s="26"/>
      <c r="P3" s="25" t="s">
        <v>5</v>
      </c>
      <c r="Q3" s="27"/>
      <c r="R3" s="26" t="s">
        <v>6</v>
      </c>
      <c r="S3" s="26"/>
      <c r="T3" s="27"/>
    </row>
    <row r="4" spans="2:20" x14ac:dyDescent="0.25">
      <c r="B4" s="6" t="s">
        <v>7</v>
      </c>
      <c r="C4" s="8" t="s">
        <v>8</v>
      </c>
      <c r="D4" s="9" t="s">
        <v>9</v>
      </c>
      <c r="E4" s="6" t="s">
        <v>10</v>
      </c>
      <c r="F4" s="6" t="s">
        <v>11</v>
      </c>
      <c r="G4" s="9" t="s">
        <v>12</v>
      </c>
      <c r="H4" s="6" t="s">
        <v>13</v>
      </c>
      <c r="I4" s="8" t="s">
        <v>14</v>
      </c>
      <c r="J4" s="8" t="s">
        <v>15</v>
      </c>
      <c r="K4" s="7" t="s">
        <v>16</v>
      </c>
      <c r="L4" s="8" t="s">
        <v>17</v>
      </c>
      <c r="M4" s="6" t="s">
        <v>13</v>
      </c>
      <c r="N4" s="8" t="s">
        <v>18</v>
      </c>
      <c r="O4" s="8" t="s">
        <v>19</v>
      </c>
      <c r="P4" s="6" t="s">
        <v>20</v>
      </c>
      <c r="Q4" s="7" t="s">
        <v>21</v>
      </c>
      <c r="R4" s="8" t="s">
        <v>22</v>
      </c>
      <c r="S4" s="8" t="s">
        <v>23</v>
      </c>
      <c r="T4" s="7" t="s">
        <v>24</v>
      </c>
    </row>
    <row r="5" spans="2:20" x14ac:dyDescent="0.25">
      <c r="B5" s="1" t="s">
        <v>25</v>
      </c>
      <c r="C5" s="10" t="s">
        <v>26</v>
      </c>
      <c r="D5" s="11">
        <v>4.5</v>
      </c>
      <c r="E5" s="12">
        <v>420</v>
      </c>
      <c r="F5" s="12"/>
      <c r="G5" s="12">
        <v>24</v>
      </c>
      <c r="H5" s="12">
        <v>4</v>
      </c>
      <c r="I5" s="12">
        <v>0</v>
      </c>
      <c r="J5" s="12">
        <v>5</v>
      </c>
      <c r="K5" s="12" t="s">
        <v>27</v>
      </c>
      <c r="L5" s="13">
        <v>46201</v>
      </c>
      <c r="M5" s="12">
        <v>6</v>
      </c>
      <c r="N5" s="13">
        <v>46197</v>
      </c>
      <c r="O5" s="12">
        <v>5</v>
      </c>
      <c r="P5" s="14">
        <v>900</v>
      </c>
      <c r="Q5" s="15">
        <f t="shared" ref="Q5:Q21" si="0">M5-H5</f>
        <v>2</v>
      </c>
      <c r="R5" s="13">
        <f>L5+Q5</f>
        <v>46203</v>
      </c>
      <c r="S5" s="12">
        <v>982300</v>
      </c>
      <c r="T5" s="16">
        <v>1000000</v>
      </c>
    </row>
    <row r="6" spans="2:20" x14ac:dyDescent="0.25">
      <c r="B6" s="2" t="s">
        <v>25</v>
      </c>
      <c r="C6" s="3" t="s">
        <v>28</v>
      </c>
      <c r="D6" s="11">
        <v>9.8000000000000007</v>
      </c>
      <c r="E6" s="12">
        <v>1850</v>
      </c>
      <c r="F6" s="12"/>
      <c r="G6" s="12">
        <v>28</v>
      </c>
      <c r="H6" s="12">
        <v>9</v>
      </c>
      <c r="I6" s="12">
        <v>4</v>
      </c>
      <c r="J6" s="12">
        <v>7</v>
      </c>
      <c r="K6" s="12" t="s">
        <v>29</v>
      </c>
      <c r="L6" s="13">
        <v>46203</v>
      </c>
      <c r="M6" s="12">
        <v>7</v>
      </c>
      <c r="N6" s="13">
        <f>N5+M5</f>
        <v>46203</v>
      </c>
      <c r="O6" s="12">
        <v>10</v>
      </c>
      <c r="P6" s="17">
        <v>1200</v>
      </c>
      <c r="Q6" s="18">
        <f t="shared" si="0"/>
        <v>-2</v>
      </c>
      <c r="R6" s="13">
        <f t="shared" ref="R6:R21" si="1">R5+M6</f>
        <v>46210</v>
      </c>
      <c r="S6" s="12">
        <v>964800</v>
      </c>
      <c r="T6" s="16">
        <v>1000000</v>
      </c>
    </row>
    <row r="7" spans="2:20" x14ac:dyDescent="0.25">
      <c r="B7" s="2" t="s">
        <v>25</v>
      </c>
      <c r="C7" s="3" t="s">
        <v>30</v>
      </c>
      <c r="D7" s="11">
        <v>18.600000000000001</v>
      </c>
      <c r="E7" s="12">
        <v>14250</v>
      </c>
      <c r="F7" s="12"/>
      <c r="G7" s="12">
        <v>34</v>
      </c>
      <c r="H7" s="12">
        <v>11</v>
      </c>
      <c r="I7" s="12">
        <v>13</v>
      </c>
      <c r="J7" s="12">
        <v>11</v>
      </c>
      <c r="K7" s="12" t="s">
        <v>31</v>
      </c>
      <c r="L7" s="13">
        <v>46206</v>
      </c>
      <c r="M7" s="12">
        <v>13</v>
      </c>
      <c r="N7" s="13">
        <f t="shared" ref="N7:N21" si="2">N6+M6</f>
        <v>46210</v>
      </c>
      <c r="O7" s="12">
        <v>10</v>
      </c>
      <c r="P7" s="17">
        <v>3600</v>
      </c>
      <c r="Q7" s="18">
        <f t="shared" si="0"/>
        <v>2</v>
      </c>
      <c r="R7" s="13">
        <f t="shared" si="1"/>
        <v>46223</v>
      </c>
      <c r="S7" s="12">
        <v>932100</v>
      </c>
      <c r="T7" s="16">
        <v>1000000</v>
      </c>
    </row>
    <row r="8" spans="2:20" x14ac:dyDescent="0.25">
      <c r="B8" s="2" t="s">
        <v>25</v>
      </c>
      <c r="C8" s="3" t="s">
        <v>32</v>
      </c>
      <c r="D8" s="11">
        <v>26.9</v>
      </c>
      <c r="E8" s="12">
        <v>9650</v>
      </c>
      <c r="F8" s="12"/>
      <c r="G8" s="12">
        <v>33</v>
      </c>
      <c r="H8" s="12">
        <v>7</v>
      </c>
      <c r="I8" s="12">
        <v>24</v>
      </c>
      <c r="J8" s="12">
        <v>9</v>
      </c>
      <c r="K8" s="12" t="s">
        <v>29</v>
      </c>
      <c r="L8" s="13">
        <v>46208</v>
      </c>
      <c r="M8" s="12">
        <v>15</v>
      </c>
      <c r="N8" s="13">
        <f t="shared" si="2"/>
        <v>46223</v>
      </c>
      <c r="O8" s="12">
        <v>5</v>
      </c>
      <c r="P8" s="17">
        <v>4400</v>
      </c>
      <c r="Q8" s="18">
        <f t="shared" si="0"/>
        <v>8</v>
      </c>
      <c r="R8" s="13">
        <f t="shared" si="1"/>
        <v>46238</v>
      </c>
      <c r="S8" s="12">
        <v>901500</v>
      </c>
      <c r="T8" s="16">
        <v>1000000</v>
      </c>
    </row>
    <row r="9" spans="2:20" x14ac:dyDescent="0.25">
      <c r="B9" s="4" t="s">
        <v>25</v>
      </c>
      <c r="C9" s="5" t="s">
        <v>33</v>
      </c>
      <c r="D9" s="11">
        <v>45.7</v>
      </c>
      <c r="E9" s="12">
        <v>28700</v>
      </c>
      <c r="F9" s="12"/>
      <c r="G9" s="12">
        <v>39</v>
      </c>
      <c r="H9" s="12">
        <v>23</v>
      </c>
      <c r="I9" s="12">
        <v>31</v>
      </c>
      <c r="J9" s="12">
        <v>14</v>
      </c>
      <c r="K9" s="12" t="s">
        <v>31</v>
      </c>
      <c r="L9" s="13">
        <v>46215</v>
      </c>
      <c r="M9" s="12">
        <v>25</v>
      </c>
      <c r="N9" s="13">
        <f t="shared" si="2"/>
        <v>46238</v>
      </c>
      <c r="O9" s="12">
        <v>12</v>
      </c>
      <c r="P9" s="17">
        <v>9300</v>
      </c>
      <c r="Q9" s="18">
        <f t="shared" si="0"/>
        <v>2</v>
      </c>
      <c r="R9" s="13">
        <f t="shared" si="1"/>
        <v>46263</v>
      </c>
      <c r="S9" s="12">
        <v>845300</v>
      </c>
      <c r="T9" s="16">
        <v>1000000</v>
      </c>
    </row>
    <row r="10" spans="2:20" x14ac:dyDescent="0.25">
      <c r="B10" s="1" t="s">
        <v>34</v>
      </c>
      <c r="C10" s="10" t="s">
        <v>35</v>
      </c>
      <c r="D10" s="11">
        <v>58.2</v>
      </c>
      <c r="E10" s="12">
        <v>11300</v>
      </c>
      <c r="F10" s="12"/>
      <c r="G10" s="12">
        <v>31</v>
      </c>
      <c r="H10" s="12">
        <v>14</v>
      </c>
      <c r="I10" s="12">
        <v>54</v>
      </c>
      <c r="J10" s="12">
        <v>9</v>
      </c>
      <c r="K10" s="12" t="s">
        <v>29</v>
      </c>
      <c r="L10" s="13">
        <v>46219</v>
      </c>
      <c r="M10" s="12">
        <v>15</v>
      </c>
      <c r="N10" s="13">
        <f t="shared" si="2"/>
        <v>46263</v>
      </c>
      <c r="O10" s="12">
        <v>9</v>
      </c>
      <c r="P10" s="17">
        <v>5800</v>
      </c>
      <c r="Q10" s="18">
        <f t="shared" si="0"/>
        <v>1</v>
      </c>
      <c r="R10" s="13">
        <f t="shared" si="1"/>
        <v>46278</v>
      </c>
      <c r="S10" s="12">
        <v>801200</v>
      </c>
      <c r="T10" s="16">
        <v>1000000</v>
      </c>
    </row>
    <row r="11" spans="2:20" x14ac:dyDescent="0.25">
      <c r="B11" s="2" t="s">
        <v>34</v>
      </c>
      <c r="C11" s="3" t="s">
        <v>36</v>
      </c>
      <c r="D11" s="11">
        <v>64.400000000000006</v>
      </c>
      <c r="E11" s="12">
        <v>4700</v>
      </c>
      <c r="F11" s="12"/>
      <c r="G11" s="12">
        <v>33</v>
      </c>
      <c r="H11" s="12">
        <v>6</v>
      </c>
      <c r="I11" s="12">
        <v>68</v>
      </c>
      <c r="J11" s="12">
        <v>5</v>
      </c>
      <c r="K11" s="12" t="s">
        <v>27</v>
      </c>
      <c r="L11" s="13">
        <v>46220</v>
      </c>
      <c r="M11" s="12">
        <v>6</v>
      </c>
      <c r="N11" s="13">
        <f t="shared" si="2"/>
        <v>46278</v>
      </c>
      <c r="O11" s="12">
        <v>5</v>
      </c>
      <c r="P11" s="17">
        <v>2500</v>
      </c>
      <c r="Q11" s="18">
        <f t="shared" si="0"/>
        <v>0</v>
      </c>
      <c r="R11" s="13">
        <f t="shared" si="1"/>
        <v>46284</v>
      </c>
      <c r="S11" s="12">
        <v>776900</v>
      </c>
      <c r="T11" s="16">
        <v>1000000</v>
      </c>
    </row>
    <row r="12" spans="2:20" x14ac:dyDescent="0.25">
      <c r="B12" s="2" t="s">
        <v>34</v>
      </c>
      <c r="C12" s="3" t="s">
        <v>37</v>
      </c>
      <c r="D12" s="11">
        <v>70.3</v>
      </c>
      <c r="E12" s="12">
        <v>2100</v>
      </c>
      <c r="F12" s="12"/>
      <c r="G12" s="12">
        <v>29</v>
      </c>
      <c r="H12" s="12">
        <v>5</v>
      </c>
      <c r="I12" s="12">
        <v>74</v>
      </c>
      <c r="J12" s="12">
        <v>4</v>
      </c>
      <c r="K12" s="12" t="s">
        <v>29</v>
      </c>
      <c r="L12" s="13">
        <v>46221</v>
      </c>
      <c r="M12" s="12">
        <v>4</v>
      </c>
      <c r="N12" s="13">
        <f t="shared" si="2"/>
        <v>46284</v>
      </c>
      <c r="O12" s="12">
        <v>4</v>
      </c>
      <c r="P12" s="17">
        <v>2100</v>
      </c>
      <c r="Q12" s="18">
        <f t="shared" si="0"/>
        <v>-1</v>
      </c>
      <c r="R12" s="13">
        <f t="shared" si="1"/>
        <v>46288</v>
      </c>
      <c r="S12" s="12">
        <v>752600</v>
      </c>
      <c r="T12" s="16">
        <v>1000000</v>
      </c>
    </row>
    <row r="13" spans="2:20" x14ac:dyDescent="0.25">
      <c r="B13" s="2" t="s">
        <v>34</v>
      </c>
      <c r="C13" s="3" t="s">
        <v>38</v>
      </c>
      <c r="D13" s="11">
        <v>78.599999999999994</v>
      </c>
      <c r="E13" s="12">
        <v>3850</v>
      </c>
      <c r="F13" s="12"/>
      <c r="G13" s="12">
        <v>27</v>
      </c>
      <c r="H13" s="12">
        <v>9</v>
      </c>
      <c r="I13" s="12">
        <v>79</v>
      </c>
      <c r="J13" s="12">
        <v>7</v>
      </c>
      <c r="K13" s="12" t="s">
        <v>27</v>
      </c>
      <c r="L13" s="13">
        <v>46223</v>
      </c>
      <c r="M13" s="12">
        <v>11</v>
      </c>
      <c r="N13" s="13">
        <f t="shared" si="2"/>
        <v>46288</v>
      </c>
      <c r="O13" s="12">
        <v>6</v>
      </c>
      <c r="P13" s="17">
        <v>4300</v>
      </c>
      <c r="Q13" s="18">
        <f t="shared" si="0"/>
        <v>2</v>
      </c>
      <c r="R13" s="13">
        <f t="shared" si="1"/>
        <v>46299</v>
      </c>
      <c r="S13" s="12">
        <v>721400</v>
      </c>
      <c r="T13" s="16">
        <v>1000000</v>
      </c>
    </row>
    <row r="14" spans="2:20" x14ac:dyDescent="0.25">
      <c r="B14" s="4" t="s">
        <v>34</v>
      </c>
      <c r="C14" s="5" t="s">
        <v>39</v>
      </c>
      <c r="D14" s="11">
        <v>85.1</v>
      </c>
      <c r="E14" s="12">
        <v>2950</v>
      </c>
      <c r="F14" s="12"/>
      <c r="G14" s="12">
        <v>26</v>
      </c>
      <c r="H14" s="12">
        <v>7</v>
      </c>
      <c r="I14" s="12">
        <v>88</v>
      </c>
      <c r="J14" s="12">
        <v>5</v>
      </c>
      <c r="K14" s="12" t="s">
        <v>27</v>
      </c>
      <c r="L14" s="13">
        <v>46225</v>
      </c>
      <c r="M14" s="12">
        <v>9</v>
      </c>
      <c r="N14" s="13">
        <f t="shared" si="2"/>
        <v>46299</v>
      </c>
      <c r="O14" s="12">
        <v>4</v>
      </c>
      <c r="P14" s="17">
        <v>2900</v>
      </c>
      <c r="Q14" s="18">
        <f t="shared" si="0"/>
        <v>2</v>
      </c>
      <c r="R14" s="13">
        <f t="shared" si="1"/>
        <v>46308</v>
      </c>
      <c r="S14" s="12">
        <v>695200</v>
      </c>
      <c r="T14" s="16">
        <v>1000000</v>
      </c>
    </row>
    <row r="15" spans="2:20" x14ac:dyDescent="0.25">
      <c r="B15" s="1" t="s">
        <v>40</v>
      </c>
      <c r="C15" s="10" t="s">
        <v>41</v>
      </c>
      <c r="D15" s="11">
        <v>90.2</v>
      </c>
      <c r="E15" s="12">
        <v>1400</v>
      </c>
      <c r="F15" s="12"/>
      <c r="G15" s="12">
        <v>36</v>
      </c>
      <c r="H15" s="12">
        <v>10</v>
      </c>
      <c r="I15" s="12">
        <v>95</v>
      </c>
      <c r="J15" s="12">
        <v>6</v>
      </c>
      <c r="K15" s="12" t="s">
        <v>29</v>
      </c>
      <c r="L15" s="13">
        <v>46227</v>
      </c>
      <c r="M15" s="12">
        <v>9</v>
      </c>
      <c r="N15" s="13">
        <f t="shared" si="2"/>
        <v>46308</v>
      </c>
      <c r="O15" s="12">
        <v>6</v>
      </c>
      <c r="P15" s="17">
        <v>3400</v>
      </c>
      <c r="Q15" s="18">
        <f t="shared" si="0"/>
        <v>-1</v>
      </c>
      <c r="R15" s="13">
        <f t="shared" si="1"/>
        <v>46317</v>
      </c>
      <c r="S15" s="12">
        <v>662700</v>
      </c>
      <c r="T15" s="16">
        <v>1000000</v>
      </c>
    </row>
    <row r="16" spans="2:20" x14ac:dyDescent="0.25">
      <c r="B16" s="2" t="s">
        <v>40</v>
      </c>
      <c r="C16" s="3" t="s">
        <v>42</v>
      </c>
      <c r="D16" s="11">
        <v>94.1</v>
      </c>
      <c r="E16" s="12">
        <v>1650</v>
      </c>
      <c r="F16" s="12"/>
      <c r="G16" s="12">
        <v>35</v>
      </c>
      <c r="H16" s="12">
        <v>9</v>
      </c>
      <c r="I16" s="12">
        <v>105</v>
      </c>
      <c r="J16" s="12">
        <v>6</v>
      </c>
      <c r="K16" s="12" t="s">
        <v>29</v>
      </c>
      <c r="L16" s="13">
        <v>46229</v>
      </c>
      <c r="M16" s="12">
        <v>11</v>
      </c>
      <c r="N16" s="13">
        <f t="shared" si="2"/>
        <v>46317</v>
      </c>
      <c r="O16" s="12">
        <v>5</v>
      </c>
      <c r="P16" s="17">
        <v>4300</v>
      </c>
      <c r="Q16" s="18">
        <f t="shared" si="0"/>
        <v>2</v>
      </c>
      <c r="R16" s="13">
        <f t="shared" si="1"/>
        <v>46328</v>
      </c>
      <c r="S16" s="12">
        <v>638900</v>
      </c>
      <c r="T16" s="16">
        <v>1000000</v>
      </c>
    </row>
    <row r="17" spans="2:20" x14ac:dyDescent="0.25">
      <c r="B17" s="2" t="s">
        <v>40</v>
      </c>
      <c r="C17" s="3" t="s">
        <v>43</v>
      </c>
      <c r="D17" s="11">
        <v>97.3</v>
      </c>
      <c r="E17" s="12">
        <v>2400</v>
      </c>
      <c r="F17" s="12"/>
      <c r="G17" s="12">
        <v>41</v>
      </c>
      <c r="H17" s="12">
        <v>11</v>
      </c>
      <c r="I17" s="12">
        <v>114</v>
      </c>
      <c r="J17" s="12">
        <v>7</v>
      </c>
      <c r="K17" s="12" t="s">
        <v>31</v>
      </c>
      <c r="L17" s="13">
        <v>46232</v>
      </c>
      <c r="M17" s="12">
        <v>15</v>
      </c>
      <c r="N17" s="13">
        <f t="shared" si="2"/>
        <v>46328</v>
      </c>
      <c r="O17" s="12">
        <v>5</v>
      </c>
      <c r="P17" s="17">
        <v>3400</v>
      </c>
      <c r="Q17" s="18">
        <f t="shared" si="0"/>
        <v>4</v>
      </c>
      <c r="R17" s="13">
        <f t="shared" si="1"/>
        <v>46343</v>
      </c>
      <c r="S17" s="12">
        <v>612500</v>
      </c>
      <c r="T17" s="16">
        <v>1000000</v>
      </c>
    </row>
    <row r="18" spans="2:20" x14ac:dyDescent="0.25">
      <c r="B18" s="4" t="s">
        <v>40</v>
      </c>
      <c r="C18" s="5" t="s">
        <v>44</v>
      </c>
      <c r="D18" s="11">
        <v>99.1</v>
      </c>
      <c r="E18" s="12">
        <v>1850</v>
      </c>
      <c r="F18" s="12"/>
      <c r="G18" s="12">
        <v>30</v>
      </c>
      <c r="H18" s="12">
        <v>9</v>
      </c>
      <c r="I18" s="12">
        <v>125</v>
      </c>
      <c r="J18" s="12">
        <v>5</v>
      </c>
      <c r="K18" s="12" t="s">
        <v>27</v>
      </c>
      <c r="L18" s="13">
        <v>46234</v>
      </c>
      <c r="M18" s="12">
        <v>14</v>
      </c>
      <c r="N18" s="13">
        <f t="shared" si="2"/>
        <v>46343</v>
      </c>
      <c r="O18" s="12">
        <v>5</v>
      </c>
      <c r="P18" s="17">
        <v>2600</v>
      </c>
      <c r="Q18" s="18">
        <f t="shared" si="0"/>
        <v>5</v>
      </c>
      <c r="R18" s="13">
        <f t="shared" si="1"/>
        <v>46357</v>
      </c>
      <c r="S18" s="12">
        <v>590200</v>
      </c>
      <c r="T18" s="16">
        <v>1000000</v>
      </c>
    </row>
    <row r="19" spans="2:20" x14ac:dyDescent="0.25">
      <c r="B19" s="1" t="s">
        <v>45</v>
      </c>
      <c r="C19" s="10" t="s">
        <v>46</v>
      </c>
      <c r="D19" s="11">
        <v>99.6</v>
      </c>
      <c r="E19" s="12">
        <v>320</v>
      </c>
      <c r="F19" s="12"/>
      <c r="G19" s="12">
        <v>28</v>
      </c>
      <c r="H19" s="12">
        <v>4</v>
      </c>
      <c r="I19" s="12">
        <v>134</v>
      </c>
      <c r="J19" s="12">
        <v>3</v>
      </c>
      <c r="K19" s="12" t="s">
        <v>27</v>
      </c>
      <c r="L19" s="13">
        <v>46235</v>
      </c>
      <c r="M19" s="12">
        <v>7</v>
      </c>
      <c r="N19" s="13">
        <f t="shared" si="2"/>
        <v>46357</v>
      </c>
      <c r="O19" s="12">
        <v>3</v>
      </c>
      <c r="P19" s="17">
        <v>1400</v>
      </c>
      <c r="Q19" s="18">
        <f t="shared" si="0"/>
        <v>3</v>
      </c>
      <c r="R19" s="13">
        <f t="shared" si="1"/>
        <v>46364</v>
      </c>
      <c r="S19" s="12">
        <v>575600</v>
      </c>
      <c r="T19" s="16">
        <v>1000000</v>
      </c>
    </row>
    <row r="20" spans="2:20" x14ac:dyDescent="0.25">
      <c r="B20" s="2" t="s">
        <v>45</v>
      </c>
      <c r="C20" s="3" t="s">
        <v>47</v>
      </c>
      <c r="D20" s="11">
        <v>100</v>
      </c>
      <c r="E20" s="12">
        <v>180</v>
      </c>
      <c r="F20" s="12"/>
      <c r="G20" s="12">
        <v>27</v>
      </c>
      <c r="H20" s="12">
        <v>5</v>
      </c>
      <c r="I20" s="12">
        <v>138</v>
      </c>
      <c r="J20" s="12">
        <v>4</v>
      </c>
      <c r="K20" s="12" t="s">
        <v>29</v>
      </c>
      <c r="L20" s="13">
        <v>46237</v>
      </c>
      <c r="M20" s="12">
        <v>12</v>
      </c>
      <c r="N20" s="13">
        <f t="shared" si="2"/>
        <v>46364</v>
      </c>
      <c r="O20" s="12">
        <v>4</v>
      </c>
      <c r="P20" s="17">
        <v>2600</v>
      </c>
      <c r="Q20" s="18">
        <f t="shared" si="0"/>
        <v>7</v>
      </c>
      <c r="R20" s="13">
        <f t="shared" si="1"/>
        <v>46376</v>
      </c>
      <c r="S20" s="12">
        <v>12000</v>
      </c>
      <c r="T20" s="16">
        <v>1000000</v>
      </c>
    </row>
    <row r="21" spans="2:20" x14ac:dyDescent="0.25">
      <c r="B21" s="4" t="s">
        <v>45</v>
      </c>
      <c r="C21" s="5" t="s">
        <v>48</v>
      </c>
      <c r="D21" s="19">
        <v>100</v>
      </c>
      <c r="E21" s="20">
        <v>60</v>
      </c>
      <c r="F21" s="20"/>
      <c r="G21" s="20">
        <v>25</v>
      </c>
      <c r="H21" s="20">
        <v>2</v>
      </c>
      <c r="I21" s="20">
        <v>143</v>
      </c>
      <c r="J21" s="20">
        <v>2</v>
      </c>
      <c r="K21" s="20" t="s">
        <v>27</v>
      </c>
      <c r="L21" s="21">
        <v>46238</v>
      </c>
      <c r="M21" s="20">
        <v>5</v>
      </c>
      <c r="N21" s="21">
        <f t="shared" si="2"/>
        <v>46376</v>
      </c>
      <c r="O21" s="20">
        <v>2</v>
      </c>
      <c r="P21" s="22">
        <v>1200</v>
      </c>
      <c r="Q21" s="23">
        <f t="shared" si="0"/>
        <v>3</v>
      </c>
      <c r="R21" s="21">
        <f t="shared" si="1"/>
        <v>46381</v>
      </c>
      <c r="S21" s="20">
        <v>0</v>
      </c>
      <c r="T21" s="24">
        <v>1000000</v>
      </c>
    </row>
  </sheetData>
  <mergeCells count="6">
    <mergeCell ref="H2:O2"/>
    <mergeCell ref="M3:O3"/>
    <mergeCell ref="P2:T2"/>
    <mergeCell ref="P3:Q3"/>
    <mergeCell ref="R3:T3"/>
    <mergeCell ref="H3:L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 Dataset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Elisa Manon Pierrisnard</dc:creator>
  <cp:keywords/>
  <dc:description/>
  <cp:lastModifiedBy>Sarah Rashad Ibrahim Badran</cp:lastModifiedBy>
  <cp:revision/>
  <dcterms:created xsi:type="dcterms:W3CDTF">2026-03-24T10:21:29Z</dcterms:created>
  <dcterms:modified xsi:type="dcterms:W3CDTF">2026-03-31T15:29:22Z</dcterms:modified>
  <cp:category/>
  <cp:contentStatus/>
</cp:coreProperties>
</file>